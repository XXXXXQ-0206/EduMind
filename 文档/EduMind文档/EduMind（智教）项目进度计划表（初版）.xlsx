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428ad940d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进度计划" sheetId="1" r:id="R9b030da5050e4c21"/>
    <x:sheet xmlns:r="http://schemas.openxmlformats.org/officeDocument/2006/relationships" name="来源说明" sheetId="2" r:id="R49305326dfc8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%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F4E78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0"/>
      <x:color rgb="FF375623"/>
      <x:name val="Carlito"/>
    </x:font>
    <x:font>
      <x:b/>
      <x:sz val="10"/>
      <x:color rgb="FF1F4E78"/>
      <x:name val="Carlito"/>
    </x:font>
    <x:font>
      <x:sz val="10"/>
      <x:color rgb="FF7F6000"/>
      <x:name val="Carlito"/>
    </x:font>
    <x:font>
      <x:b/>
      <x:sz val="18"/>
      <x:color rgb="FFFFFFFF"/>
      <x:name val="Microsoft YaHei"/>
    </x:font>
    <x:font>
      <x:b/>
      <x:sz val="11"/>
      <x:color rgb="FFFFFFFF"/>
      <x:name val="Microsoft YaHei"/>
    </x:font>
    <x:font>
      <x:sz val="11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ED7D31"/>
      </x:patternFill>
    </x:fill>
    <x:fill>
      <x:patternFill patternType="solid">
        <x:fgColor rgb="FF9BBB59"/>
      </x:patternFill>
    </x:fill>
    <x:fill>
      <x:patternFill patternType="solid">
        <x:fgColor rgb="FFA64D79"/>
      </x:patternFill>
    </x:fill>
    <x:fill>
      <x:patternFill patternType="solid">
        <x:fgColor rgb="FFF4B183"/>
      </x:patternFill>
    </x:fill>
    <x:fill>
      <x:patternFill patternType="solid">
        <x:fgColor rgb="FF8064A2"/>
      </x:patternFill>
    </x:fill>
    <x:fill>
      <x:patternFill patternType="solid">
        <x:fgColor rgb="FF00A2E8"/>
      </x:patternFill>
    </x:fill>
    <x:fill>
      <x:patternFill patternType="solid">
        <x:fgColor rgb="FF7F7F7F"/>
      </x:patternFill>
    </x:fill>
    <x:fill>
      <x:patternFill patternType="solid">
        <x:fgColor rgb="FFFFF2CC"/>
      </x:patternFill>
    </x:fill>
  </x:fills>
  <x:borders count="15">
    <x:border/>
    <x:border>
      <x:left style="thin">
        <x:color rgb="FFB7C9DA"/>
      </x:left>
      <x:top style="thin">
        <x:color rgb="FFB7C9DA"/>
      </x:top>
      <x:bottom style="thin">
        <x:color rgb="FFB7C9DA"/>
      </x:bottom>
    </x:border>
    <x:border>
      <x:top style="thin">
        <x:color rgb="FFB7C9DA"/>
      </x:top>
      <x:bottom style="thin">
        <x:color rgb="FFB7C9DA"/>
      </x:bottom>
    </x:border>
    <x:border>
      <x:right style="thin">
        <x:color rgb="FFB7C9DA"/>
      </x:right>
      <x:top style="thin">
        <x:color rgb="FFB7C9DA"/>
      </x:top>
      <x:bottom style="thin">
        <x:color rgb="FFB7C9DA"/>
      </x:bottom>
    </x:border>
    <x:border>
      <x:left style="thin">
        <x:color rgb="FFB7C9DA"/>
      </x:left>
      <x:right style="thin">
        <x:color rgb="FFB7C9DA"/>
      </x:right>
      <x:top style="thin">
        <x:color rgb="FFB7C9DA"/>
      </x:top>
      <x:bottom style="thin">
        <x:color rgb="FFB7C9D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1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5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4" xfId="0" applyNumberFormat="1" applyFont="1" applyFill="1" applyBorder="1"/>
    <x:xf numFmtId="0" fontId="4" fillId="2" borderId="5" xfId="0" applyNumberFormat="1" applyFont="1" applyFill="1" applyBorder="1" applyAlignment="1">
      <x:alignment wrapText="1"/>
    </x:xf>
    <x:xf numFmtId="0" fontId="4" fillId="2" borderId="5" xfId="0" applyNumberFormat="1" applyFont="1" applyFill="1" applyBorder="1" applyAlignment="1">
      <x:alignment horizontal="center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horizontal="center" vertical="center" wrapText="1"/>
    </x:xf>
    <x:xf numFmtId="201" fontId="0" fillId="0" borderId="6" xfId="0" applyNumberFormat="1" applyFont="1" applyFill="1" applyBorder="1" applyAlignment="1">
      <x:alignment horizontal="center" vertical="center" wrapText="1"/>
    </x:xf>
    <x:xf numFmtId="202" fontId="0" fillId="0" borderId="6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200" fontId="5" fillId="0" borderId="6" xfId="0" applyNumberFormat="1" applyFont="1" applyFill="1" applyBorder="1" applyAlignment="1">
      <x:alignment horizontal="center" vertical="center" wrapText="1"/>
    </x:xf>
    <x:xf numFmtId="201" fontId="5" fillId="0" borderId="6" xfId="0" applyNumberFormat="1" applyFont="1" applyFill="1" applyBorder="1" applyAlignment="1">
      <x:alignment horizontal="center" vertical="center" wrapText="1"/>
    </x:xf>
    <x:xf numFmtId="202" fontId="5" fillId="0" borderId="6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5" fillId="8" borderId="6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horizontal="center" vertical="center" wrapText="1"/>
    </x:xf>
    <x:xf numFmtId="202" fontId="5" fillId="6" borderId="6" xfId="0" applyNumberFormat="1" applyFont="1" applyFill="1" applyBorder="1" applyAlignment="1">
      <x:alignment horizontal="center" vertical="center" wrapText="1"/>
    </x:xf>
    <x:xf numFmtId="202" fontId="8" fillId="6" borderId="6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5" fillId="9" borderId="6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4" fillId="9" borderId="6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vertical="center" wrapText="1"/>
    </x:xf>
    <x:xf numFmtId="0" fontId="4" fillId="9" borderId="5" xfId="0" applyNumberFormat="1" applyFont="1" applyFill="1" applyBorder="1" applyAlignment="1">
      <x:alignment horizontal="center" vertical="center" wrapText="1"/>
    </x:xf>
    <x:xf numFmtId="0" fontId="5" fillId="10" borderId="6" xfId="0" applyNumberFormat="1" applyFont="1" applyFill="1" applyBorder="1" applyAlignment="1">
      <x:alignment horizontal="center" vertical="center" wrapText="1"/>
    </x:xf>
    <x:xf numFmtId="0" fontId="6" fillId="10" borderId="6" xfId="0" applyNumberFormat="1" applyFont="1" applyFill="1" applyBorder="1" applyAlignment="1">
      <x:alignment horizontal="center" vertical="center" wrapText="1"/>
    </x:xf>
    <x:xf numFmtId="0" fontId="0" fillId="10" borderId="6" xfId="0" applyNumberFormat="1" applyFont="1" applyFill="1" applyBorder="1" applyAlignment="1">
      <x:alignment vertical="center" wrapText="1"/>
    </x:xf>
    <x:xf numFmtId="0" fontId="4" fillId="10" borderId="6" xfId="0" applyNumberFormat="1" applyFont="1" applyFill="1" applyBorder="1" applyAlignment="1">
      <x:alignment vertical="center" wrapText="1"/>
    </x:xf>
    <x:xf numFmtId="0" fontId="4" fillId="10" borderId="5" xfId="0" applyNumberFormat="1" applyFont="1" applyFill="1" applyBorder="1" applyAlignment="1">
      <x:alignment vertical="center" wrapText="1"/>
    </x:xf>
    <x:xf numFmtId="0" fontId="4" fillId="10" borderId="5" xfId="0" applyNumberFormat="1" applyFont="1" applyFill="1" applyBorder="1" applyAlignment="1">
      <x:alignment horizontal="center" vertical="center" wrapText="1"/>
    </x:xf>
    <x:xf numFmtId="0" fontId="5" fillId="11" borderId="6" xfId="0" applyNumberFormat="1" applyFont="1" applyFill="1" applyBorder="1" applyAlignment="1">
      <x:alignment horizontal="center" vertical="center" wrapText="1"/>
    </x:xf>
    <x:xf numFmtId="0" fontId="6" fillId="11" borderId="6" xfId="0" applyNumberFormat="1" applyFont="1" applyFill="1" applyBorder="1" applyAlignment="1">
      <x:alignment horizontal="center" vertical="center" wrapText="1"/>
    </x:xf>
    <x:xf numFmtId="0" fontId="0" fillId="11" borderId="6" xfId="0" applyNumberFormat="1" applyFont="1" applyFill="1" applyBorder="1" applyAlignment="1">
      <x:alignment vertical="center" wrapText="1"/>
    </x:xf>
    <x:xf numFmtId="0" fontId="4" fillId="11" borderId="6" xfId="0" applyNumberFormat="1" applyFont="1" applyFill="1" applyBorder="1" applyAlignment="1">
      <x:alignment vertical="center" wrapText="1"/>
    </x:xf>
    <x:xf numFmtId="0" fontId="4" fillId="11" borderId="5" xfId="0" applyNumberFormat="1" applyFont="1" applyFill="1" applyBorder="1" applyAlignment="1">
      <x:alignment vertical="center" wrapText="1"/>
    </x:xf>
    <x:xf numFmtId="0" fontId="4" fillId="11" borderId="5" xfId="0" applyNumberFormat="1" applyFont="1" applyFill="1" applyBorder="1" applyAlignment="1">
      <x:alignment horizontal="center" vertical="center" wrapText="1"/>
    </x:xf>
    <x:xf numFmtId="0" fontId="5" fillId="12" borderId="6" xfId="0" applyNumberFormat="1" applyFont="1" applyFill="1" applyBorder="1" applyAlignment="1">
      <x:alignment horizontal="center" vertical="center" wrapText="1"/>
    </x:xf>
    <x:xf numFmtId="0" fontId="6" fillId="12" borderId="6" xfId="0" applyNumberFormat="1" applyFont="1" applyFill="1" applyBorder="1" applyAlignment="1">
      <x:alignment horizontal="center" vertical="center" wrapText="1"/>
    </x:xf>
    <x:xf numFmtId="0" fontId="0" fillId="12" borderId="6" xfId="0" applyNumberFormat="1" applyFont="1" applyFill="1" applyBorder="1" applyAlignment="1">
      <x:alignment vertical="center" wrapText="1"/>
    </x:xf>
    <x:xf numFmtId="0" fontId="4" fillId="12" borderId="6" xfId="0" applyNumberFormat="1" applyFont="1" applyFill="1" applyBorder="1" applyAlignment="1">
      <x:alignment vertical="center" wrapText="1"/>
    </x:xf>
    <x:xf numFmtId="0" fontId="4" fillId="12" borderId="5" xfId="0" applyNumberFormat="1" applyFont="1" applyFill="1" applyBorder="1" applyAlignment="1">
      <x:alignment vertical="center" wrapText="1"/>
    </x:xf>
    <x:xf numFmtId="0" fontId="4" fillId="12" borderId="5" xfId="0" applyNumberFormat="1" applyFont="1" applyFill="1" applyBorder="1" applyAlignment="1">
      <x:alignment horizontal="center" vertical="center" wrapText="1"/>
    </x:xf>
    <x:xf numFmtId="0" fontId="5" fillId="13" borderId="6" xfId="0" applyNumberFormat="1" applyFont="1" applyFill="1" applyBorder="1" applyAlignment="1">
      <x:alignment horizontal="center" vertical="center" wrapText="1"/>
    </x:xf>
    <x:xf numFmtId="0" fontId="6" fillId="13" borderId="6" xfId="0" applyNumberFormat="1" applyFont="1" applyFill="1" applyBorder="1" applyAlignment="1">
      <x:alignment horizontal="center" vertical="center" wrapText="1"/>
    </x:xf>
    <x:xf numFmtId="0" fontId="0" fillId="13" borderId="6" xfId="0" applyNumberFormat="1" applyFont="1" applyFill="1" applyBorder="1" applyAlignment="1">
      <x:alignment vertical="center" wrapText="1"/>
    </x:xf>
    <x:xf numFmtId="0" fontId="4" fillId="13" borderId="6" xfId="0" applyNumberFormat="1" applyFont="1" applyFill="1" applyBorder="1" applyAlignment="1">
      <x:alignment vertical="center" wrapText="1"/>
    </x:xf>
    <x:xf numFmtId="0" fontId="4" fillId="13" borderId="5" xfId="0" applyNumberFormat="1" applyFont="1" applyFill="1" applyBorder="1" applyAlignment="1">
      <x:alignment vertical="center" wrapText="1"/>
    </x:xf>
    <x:xf numFmtId="0" fontId="4" fillId="13" borderId="5" xfId="0" applyNumberFormat="1" applyFont="1" applyFill="1" applyBorder="1" applyAlignment="1">
      <x:alignment horizontal="center" vertical="center" wrapText="1"/>
    </x:xf>
    <x:xf numFmtId="0" fontId="5" fillId="14" borderId="6" xfId="0" applyNumberFormat="1" applyFont="1" applyFill="1" applyBorder="1" applyAlignment="1">
      <x:alignment horizontal="center" vertical="center" wrapText="1"/>
    </x:xf>
    <x:xf numFmtId="0" fontId="6" fillId="14" borderId="6" xfId="0" applyNumberFormat="1" applyFont="1" applyFill="1" applyBorder="1" applyAlignment="1">
      <x:alignment horizontal="center" vertical="center" wrapText="1"/>
    </x:xf>
    <x:xf numFmtId="0" fontId="0" fillId="14" borderId="6" xfId="0" applyNumberFormat="1" applyFont="1" applyFill="1" applyBorder="1" applyAlignment="1">
      <x:alignment vertical="center" wrapText="1"/>
    </x:xf>
    <x:xf numFmtId="0" fontId="4" fillId="14" borderId="6" xfId="0" applyNumberFormat="1" applyFont="1" applyFill="1" applyBorder="1" applyAlignment="1">
      <x:alignment vertical="center" wrapText="1"/>
    </x:xf>
    <x:xf numFmtId="0" fontId="4" fillId="14" borderId="5" xfId="0" applyNumberFormat="1" applyFont="1" applyFill="1" applyBorder="1" applyAlignment="1">
      <x:alignment vertical="center" wrapText="1"/>
    </x:xf>
    <x:xf numFmtId="0" fontId="4" fillId="14" borderId="5" xfId="0" applyNumberFormat="1" applyFont="1" applyFill="1" applyBorder="1" applyAlignment="1">
      <x:alignment horizontal="center" vertical="center" wrapText="1"/>
    </x:xf>
    <x:xf numFmtId="0" fontId="5" fillId="15" borderId="6" xfId="0" applyNumberFormat="1" applyFont="1" applyFill="1" applyBorder="1" applyAlignment="1">
      <x:alignment horizontal="center" vertical="center" wrapText="1"/>
    </x:xf>
    <x:xf numFmtId="0" fontId="6" fillId="15" borderId="6" xfId="0" applyNumberFormat="1" applyFont="1" applyFill="1" applyBorder="1" applyAlignment="1">
      <x:alignment horizontal="center" vertical="center" wrapText="1"/>
    </x:xf>
    <x:xf numFmtId="0" fontId="0" fillId="15" borderId="6" xfId="0" applyNumberFormat="1" applyFont="1" applyFill="1" applyBorder="1" applyAlignment="1">
      <x:alignment vertical="center" wrapText="1"/>
    </x:xf>
    <x:xf numFmtId="0" fontId="4" fillId="15" borderId="6" xfId="0" applyNumberFormat="1" applyFont="1" applyFill="1" applyBorder="1" applyAlignment="1">
      <x:alignment vertical="center" wrapText="1"/>
    </x:xf>
    <x:xf numFmtId="0" fontId="4" fillId="15" borderId="5" xfId="0" applyNumberFormat="1" applyFont="1" applyFill="1" applyBorder="1" applyAlignment="1">
      <x:alignment vertical="center" wrapText="1"/>
    </x:xf>
    <x:xf numFmtId="0" fontId="4" fillId="15" borderId="5" xfId="0" applyNumberFormat="1" applyFont="1" applyFill="1" applyBorder="1" applyAlignment="1">
      <x:alignment horizontal="center" vertical="center" wrapText="1"/>
    </x:xf>
    <x:xf numFmtId="0" fontId="5" fillId="16" borderId="6" xfId="0" applyNumberFormat="1" applyFont="1" applyFill="1" applyBorder="1" applyAlignment="1">
      <x:alignment horizontal="center" vertical="center" wrapText="1"/>
    </x:xf>
    <x:xf numFmtId="0" fontId="6" fillId="16" borderId="6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center" wrapText="1"/>
    </x:xf>
    <x:xf numFmtId="0" fontId="4" fillId="16" borderId="6" xfId="0" applyNumberFormat="1" applyFont="1" applyFill="1" applyBorder="1" applyAlignment="1">
      <x:alignment vertical="center" wrapText="1"/>
    </x:xf>
    <x:xf numFmtId="0" fontId="4" fillId="16" borderId="5" xfId="0" applyNumberFormat="1" applyFont="1" applyFill="1" applyBorder="1" applyAlignment="1">
      <x:alignment vertical="center" wrapText="1"/>
    </x:xf>
    <x:xf numFmtId="0" fontId="4" fillId="16" borderId="5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17" borderId="0" xfId="0" applyNumberFormat="1" applyFont="1" applyFill="1" applyBorder="1"/>
    <x:xf numFmtId="0" fontId="9" fillId="17" borderId="0" xfId="0" applyNumberFormat="1" applyFont="1" applyFill="1" applyBorder="1"/>
    <x:xf numFmtId="0" fontId="9" fillId="17" borderId="7" xfId="0" applyNumberFormat="1" applyFont="1" applyFill="1" applyBorder="1"/>
    <x:xf numFmtId="0" fontId="9" fillId="17" borderId="8" xfId="0" applyNumberFormat="1" applyFont="1" applyFill="1" applyBorder="1"/>
    <x:xf numFmtId="0" fontId="9" fillId="17" borderId="9" xfId="0" applyNumberFormat="1" applyFont="1" applyFill="1" applyBorder="1"/>
    <x:xf numFmtId="0" fontId="9" fillId="17" borderId="10" xfId="0" applyNumberFormat="1" applyFont="1" applyFill="1" applyBorder="1"/>
    <x:xf numFmtId="0" fontId="9" fillId="17" borderId="11" xfId="0" applyNumberFormat="1" applyFont="1" applyFill="1" applyBorder="1"/>
    <x:xf numFmtId="0" fontId="9" fillId="17" borderId="12" xfId="0" applyNumberFormat="1" applyFont="1" applyFill="1" applyBorder="1"/>
    <x:xf numFmtId="0" fontId="9" fillId="17" borderId="13" xfId="0" applyNumberFormat="1" applyFont="1" applyFill="1" applyBorder="1"/>
    <x:xf numFmtId="0" fontId="9" fillId="17" borderId="14" xfId="0" applyNumberFormat="1" applyFont="1" applyFill="1" applyBorder="1"/>
    <x:xf numFmtId="0" fontId="9" fillId="17" borderId="7" xfId="0" applyNumberFormat="1" applyFont="1" applyFill="1" applyBorder="1" applyAlignment="1">
      <x:alignment wrapText="1"/>
    </x:xf>
    <x:xf numFmtId="0" fontId="9" fillId="17" borderId="8" xfId="0" applyNumberFormat="1" applyFont="1" applyFill="1" applyBorder="1" applyAlignment="1">
      <x:alignment wrapText="1"/>
    </x:xf>
    <x:xf numFmtId="0" fontId="9" fillId="17" borderId="9" xfId="0" applyNumberFormat="1" applyFont="1" applyFill="1" applyBorder="1" applyAlignment="1">
      <x:alignment wrapText="1"/>
    </x:xf>
    <x:xf numFmtId="0" fontId="9" fillId="17" borderId="10" xfId="0" applyNumberFormat="1" applyFont="1" applyFill="1" applyBorder="1" applyAlignment="1">
      <x:alignment wrapText="1"/>
    </x:xf>
    <x:xf numFmtId="0" fontId="9" fillId="17" borderId="0" xfId="0" applyNumberFormat="1" applyFont="1" applyFill="1" applyBorder="1" applyAlignment="1">
      <x:alignment wrapText="1"/>
    </x:xf>
    <x:xf numFmtId="0" fontId="9" fillId="17" borderId="11" xfId="0" applyNumberFormat="1" applyFont="1" applyFill="1" applyBorder="1" applyAlignment="1">
      <x:alignment wrapText="1"/>
    </x:xf>
    <x:xf numFmtId="0" fontId="9" fillId="17" borderId="12" xfId="0" applyNumberFormat="1" applyFont="1" applyFill="1" applyBorder="1" applyAlignment="1">
      <x:alignment wrapText="1"/>
    </x:xf>
    <x:xf numFmtId="0" fontId="9" fillId="17" borderId="13" xfId="0" applyNumberFormat="1" applyFont="1" applyFill="1" applyBorder="1" applyAlignment="1">
      <x:alignment wrapText="1"/>
    </x:xf>
    <x:xf numFmtId="0" fontId="9" fillId="17" borderId="14" xfId="0" applyNumberFormat="1" applyFont="1" applyFill="1" applyBorder="1" applyAlignment="1">
      <x:alignment wrapText="1"/>
    </x:xf>
    <x:xf numFmtId="0" fontId="9" fillId="17" borderId="7" xfId="0" applyNumberFormat="1" applyFont="1" applyFill="1" applyBorder="1" applyAlignment="1">
      <x:alignment vertical="center" wrapText="1"/>
    </x:xf>
    <x:xf numFmtId="0" fontId="9" fillId="17" borderId="8" xfId="0" applyNumberFormat="1" applyFont="1" applyFill="1" applyBorder="1" applyAlignment="1">
      <x:alignment vertical="center" wrapText="1"/>
    </x:xf>
    <x:xf numFmtId="0" fontId="9" fillId="17" borderId="9" xfId="0" applyNumberFormat="1" applyFont="1" applyFill="1" applyBorder="1" applyAlignment="1">
      <x:alignment vertical="center" wrapText="1"/>
    </x:xf>
    <x:xf numFmtId="0" fontId="9" fillId="17" borderId="10" xfId="0" applyNumberFormat="1" applyFont="1" applyFill="1" applyBorder="1" applyAlignment="1">
      <x:alignment vertical="center" wrapText="1"/>
    </x:xf>
    <x:xf numFmtId="0" fontId="9" fillId="17" borderId="0" xfId="0" applyNumberFormat="1" applyFont="1" applyFill="1" applyBorder="1" applyAlignment="1">
      <x:alignment vertical="center" wrapText="1"/>
    </x:xf>
    <x:xf numFmtId="0" fontId="9" fillId="17" borderId="11" xfId="0" applyNumberFormat="1" applyFont="1" applyFill="1" applyBorder="1" applyAlignment="1">
      <x:alignment vertical="center" wrapText="1"/>
    </x:xf>
    <x:xf numFmtId="0" fontId="9" fillId="17" borderId="12" xfId="0" applyNumberFormat="1" applyFont="1" applyFill="1" applyBorder="1" applyAlignment="1">
      <x:alignment vertical="center" wrapText="1"/>
    </x:xf>
    <x:xf numFmtId="0" fontId="9" fillId="17" borderId="13" xfId="0" applyNumberFormat="1" applyFont="1" applyFill="1" applyBorder="1" applyAlignment="1">
      <x:alignment vertical="center" wrapText="1"/>
    </x:xf>
    <x:xf numFmtId="0" fontId="9" fillId="17" borderId="14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11" fillId="2" borderId="5" xfId="0" applyNumberFormat="1" applyFont="1" applyFill="1" applyBorder="1"/>
    <x:xf numFmtId="0" fontId="12" fillId="0" borderId="6" xfId="0" applyNumberFormat="1" applyFont="1" applyFill="1" applyBorder="1" applyAlignment="1">
      <x:alignment wrapText="1"/>
    </x:xf>
    <x:xf numFmtId="0" fontId="11" fillId="2" borderId="5" xfId="0" applyNumberFormat="1" applyFont="1" applyFill="1" applyBorder="1" applyAlignment="1">
      <x:alignment vertical="center"/>
    </x:xf>
    <x:xf numFmtId="0" fontId="12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58d6c8b084630" /><Relationship Type="http://schemas.openxmlformats.org/officeDocument/2006/relationships/theme" Target="/xl/theme/theme1.xml" Id="R1e5469f04f054d65" /><Relationship Type="http://schemas.openxmlformats.org/officeDocument/2006/relationships/sharedStrings" Target="/xl/sharedStrings.xml" Id="Rbef583e5ed8c4523" /><Relationship Type="http://schemas.openxmlformats.org/officeDocument/2006/relationships/worksheet" Target="/xl/worksheets/sheet1.xml" Id="R9b030da5050e4c21" /><Relationship Type="http://schemas.openxmlformats.org/officeDocument/2006/relationships/worksheet" Target="/xl/worksheets/sheet2.xml" Id="R49305326dfc84f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38" hidden="0" customWidth="1"/>
    <x:col min="4" max="4" width="16" hidden="0" customWidth="1"/>
    <x:col min="5" max="5" width="12" hidden="0" customWidth="1"/>
    <x:col min="6" max="6" width="12" hidden="0" customWidth="1"/>
    <x:col min="7" max="7" width="9" hidden="0" customWidth="1"/>
    <x:col min="8" max="8" width="9" hidden="0" customWidth="1"/>
    <x:col min="9" max="9" width="9" hidden="0" customWidth="1"/>
    <x:col min="10" max="10" width="7.5" hidden="0" customWidth="1"/>
    <x:col min="11" max="11" width="7.5" hidden="0" customWidth="1"/>
    <x:col min="12" max="12" width="7.5" hidden="0" customWidth="1"/>
    <x:col min="13" max="13" width="7.5" hidden="0" customWidth="1"/>
    <x:col min="14" max="14" width="7.5" hidden="0" customWidth="1"/>
    <x:col min="15" max="15" width="7.5" hidden="0" customWidth="1"/>
    <x:col min="16" max="16" width="7.5" hidden="0" customWidth="1"/>
    <x:col min="17" max="17" width="7.5" hidden="0" customWidth="1"/>
    <x:col min="18" max="18" width="7.5" hidden="0" customWidth="1"/>
    <x:col min="19" max="19" width="7.5" hidden="0" customWidth="1"/>
    <x:col min="20" max="20" width="7.5" hidden="0" customWidth="1"/>
    <x:col min="21" max="21" width="7.5" hidden="0" customWidth="1"/>
    <x:col min="22" max="22" width="7.5" hidden="0" customWidth="1"/>
    <x:col min="23" max="23" width="7.5" hidden="0" customWidth="1"/>
    <x:col min="24" max="24" width="7.5" hidden="0" customWidth="1"/>
    <x:col min="25" max="25" width="7.5" hidden="0" customWidth="1"/>
    <x:col min="26" max="26" width="7.5" hidden="0" customWidth="1"/>
    <x:col min="27" max="27" width="7.5" hidden="0" customWidth="1"/>
  </x:cols>
  <x:sheetData>
    <x:row r="1" ht="30" customHeight="1">
      <x:c r="A1" s="143" t="str">
        <x:v>04 项目进度计划表</x:v>
      </x:c>
      <x:c r="B1" s="143" t="str">
        <x:v>04 项目进度计划表</x:v>
      </x:c>
      <x:c r="C1" s="143" t="str">
        <x:v>04 项目进度计划表</x:v>
      </x:c>
      <x:c r="D1" s="143" t="str">
        <x:v>04 项目进度计划表</x:v>
      </x:c>
      <x:c r="E1" s="143" t="str">
        <x:v>04 项目进度计划表</x:v>
      </x:c>
      <x:c r="F1" s="143" t="str">
        <x:v>04 项目进度计划表</x:v>
      </x:c>
      <x:c r="G1" s="143" t="str">
        <x:v>04 项目进度计划表</x:v>
      </x:c>
      <x:c r="H1" s="143" t="str">
        <x:v>04 项目进度计划表</x:v>
      </x:c>
      <x:c r="I1" s="143" t="str">
        <x:v>04 项目进度计划表</x:v>
      </x:c>
      <x:c r="J1" s="143" t="str">
        <x:v>04 项目进度计划表</x:v>
      </x:c>
      <x:c r="K1" s="143" t="str">
        <x:v>04 项目进度计划表</x:v>
      </x:c>
      <x:c r="L1" s="143" t="str">
        <x:v>04 项目进度计划表</x:v>
      </x:c>
      <x:c r="M1" s="143" t="str">
        <x:v>04 项目进度计划表</x:v>
      </x:c>
      <x:c r="N1" s="143" t="str">
        <x:v>04 项目进度计划表</x:v>
      </x:c>
      <x:c r="O1" s="143" t="str">
        <x:v>04 项目进度计划表</x:v>
      </x:c>
      <x:c r="P1" s="143" t="str">
        <x:v>04 项目进度计划表</x:v>
      </x:c>
      <x:c r="Q1" s="143" t="str">
        <x:v>04 项目进度计划表</x:v>
      </x:c>
      <x:c r="R1" s="143" t="str">
        <x:v>04 项目进度计划表</x:v>
      </x:c>
      <x:c r="S1" s="143" t="str">
        <x:v>04 项目进度计划表</x:v>
      </x:c>
      <x:c r="T1" s="143" t="str">
        <x:v>04 项目进度计划表</x:v>
      </x:c>
      <x:c r="U1" s="143" t="str">
        <x:v>04 项目进度计划表</x:v>
      </x:c>
      <x:c r="V1" s="143" t="str">
        <x:v>04 项目进度计划表</x:v>
      </x:c>
      <x:c r="W1" s="143" t="str">
        <x:v>04 项目进度计划表</x:v>
      </x:c>
      <x:c r="X1" s="143" t="str">
        <x:v>04 项目进度计划表</x:v>
      </x:c>
      <x:c r="Y1" s="143" t="str">
        <x:v>04 项目进度计划表</x:v>
      </x:c>
      <x:c r="Z1" s="143" t="str">
        <x:v>04 项目进度计划表</x:v>
      </x:c>
      <x:c r="AA1" s="143" t="str">
        <x:v>04 项目进度计划表</x:v>
      </x:c>
    </x:row>
    <x:row r="2" ht="24" customHeight="1">
      <x:c r="A2" s="7" t="str">
        <x:v>Project Schedule</x:v>
      </x:c>
      <x:c r="B2" s="7" t="str">
        <x:v>Project Schedule</x:v>
      </x:c>
      <x:c r="C2" s="7" t="str">
        <x:v>Project Schedule</x:v>
      </x:c>
      <x:c r="D2" s="7" t="str">
        <x:v>Project Schedule</x:v>
      </x:c>
      <x:c r="E2" s="7" t="str">
        <x:v>Project Schedule</x:v>
      </x:c>
      <x:c r="F2" s="7" t="str">
        <x:v>Project Schedule</x:v>
      </x:c>
      <x:c r="G2" s="7" t="str">
        <x:v>Project Schedule</x:v>
      </x:c>
      <x:c r="H2" s="7" t="str">
        <x:v>Project Schedule</x:v>
      </x:c>
      <x:c r="I2" s="7" t="str">
        <x:v>Project Schedule</x:v>
      </x:c>
      <x:c r="J2" s="7" t="str">
        <x:v>Project Schedule</x:v>
      </x:c>
      <x:c r="K2" s="7" t="str">
        <x:v>Project Schedule</x:v>
      </x:c>
      <x:c r="L2" s="7" t="str">
        <x:v>Project Schedule</x:v>
      </x:c>
      <x:c r="M2" s="7" t="str">
        <x:v>Project Schedule</x:v>
      </x:c>
      <x:c r="N2" s="7" t="str">
        <x:v>Project Schedule</x:v>
      </x:c>
      <x:c r="O2" s="7" t="str">
        <x:v>Project Schedule</x:v>
      </x:c>
      <x:c r="P2" s="7" t="str">
        <x:v>Project Schedule</x:v>
      </x:c>
      <x:c r="Q2" s="7" t="str">
        <x:v>Project Schedule</x:v>
      </x:c>
      <x:c r="R2" s="7" t="str">
        <x:v>Project Schedule</x:v>
      </x:c>
      <x:c r="S2" s="7" t="str">
        <x:v>Project Schedule</x:v>
      </x:c>
      <x:c r="T2" s="7" t="str">
        <x:v>Project Schedule</x:v>
      </x:c>
      <x:c r="U2" s="7" t="str">
        <x:v>Project Schedule</x:v>
      </x:c>
      <x:c r="V2" s="7" t="str">
        <x:v>Project Schedule</x:v>
      </x:c>
      <x:c r="W2" s="7" t="str">
        <x:v>Project Schedule</x:v>
      </x:c>
      <x:c r="X2" s="7" t="str">
        <x:v>Project Schedule</x:v>
      </x:c>
      <x:c r="Y2" s="7" t="str">
        <x:v>Project Schedule</x:v>
      </x:c>
      <x:c r="Z2" s="7" t="str">
        <x:v>Project Schedule</x:v>
      </x:c>
      <x:c r="AA2" s="7" t="str">
        <x:v>Project Schedule</x:v>
      </x:c>
    </x:row>
    <x:row r="4" ht="24" customHeight="1">
      <x:c r="A4" s="10" t="str">
        <x:v>I. Project Basic Info  项目基本信息</x:v>
      </x:c>
      <x:c r="B4" s="11" t="str">
        <x:v>I. Project Basic Info  项目基本信息</x:v>
      </x:c>
      <x:c r="C4" s="11" t="str">
        <x:v>I. Project Basic Info  项目基本信息</x:v>
      </x:c>
      <x:c r="D4" s="11" t="str">
        <x:v>I. Project Basic Info  项目基本信息</x:v>
      </x:c>
      <x:c r="E4" s="11" t="str">
        <x:v>I. Project Basic Info  项目基本信息</x:v>
      </x:c>
      <x:c r="F4" s="11" t="str">
        <x:v>I. Project Basic Info  项目基本信息</x:v>
      </x:c>
      <x:c r="G4" s="11" t="str">
        <x:v>I. Project Basic Info  项目基本信息</x:v>
      </x:c>
      <x:c r="H4" s="11" t="str">
        <x:v>I. Project Basic Info  项目基本信息</x:v>
      </x:c>
      <x:c r="I4" s="11" t="str">
        <x:v>I. Project Basic Info  项目基本信息</x:v>
      </x:c>
      <x:c r="J4" s="11" t="str">
        <x:v>I. Project Basic Info  项目基本信息</x:v>
      </x:c>
      <x:c r="K4" s="11" t="str">
        <x:v>I. Project Basic Info  项目基本信息</x:v>
      </x:c>
      <x:c r="L4" s="11" t="str">
        <x:v>I. Project Basic Info  项目基本信息</x:v>
      </x:c>
      <x:c r="M4" s="11" t="str">
        <x:v>I. Project Basic Info  项目基本信息</x:v>
      </x:c>
      <x:c r="N4" s="11" t="str">
        <x:v>I. Project Basic Info  项目基本信息</x:v>
      </x:c>
      <x:c r="O4" s="11" t="str">
        <x:v>I. Project Basic Info  项目基本信息</x:v>
      </x:c>
      <x:c r="P4" s="11" t="str">
        <x:v>I. Project Basic Info  项目基本信息</x:v>
      </x:c>
      <x:c r="Q4" s="11" t="str">
        <x:v>I. Project Basic Info  项目基本信息</x:v>
      </x:c>
      <x:c r="R4" s="11" t="str">
        <x:v>I. Project Basic Info  项目基本信息</x:v>
      </x:c>
      <x:c r="S4" s="11" t="str">
        <x:v>I. Project Basic Info  项目基本信息</x:v>
      </x:c>
      <x:c r="T4" s="11" t="str">
        <x:v>I. Project Basic Info  项目基本信息</x:v>
      </x:c>
      <x:c r="U4" s="11" t="str">
        <x:v>I. Project Basic Info  项目基本信息</x:v>
      </x:c>
      <x:c r="V4" s="11" t="str">
        <x:v>I. Project Basic Info  项目基本信息</x:v>
      </x:c>
      <x:c r="W4" s="11" t="str">
        <x:v>I. Project Basic Info  项目基本信息</x:v>
      </x:c>
      <x:c r="X4" s="11" t="str">
        <x:v>I. Project Basic Info  项目基本信息</x:v>
      </x:c>
      <x:c r="Y4" s="11" t="str">
        <x:v>I. Project Basic Info  项目基本信息</x:v>
      </x:c>
      <x:c r="Z4" s="11" t="str">
        <x:v>I. Project Basic Info  项目基本信息</x:v>
      </x:c>
      <x:c r="AA4" s="12" t="str">
        <x:v>I. Project Basic Info  项目基本信息</x:v>
      </x:c>
    </x:row>
    <x:row r="5" ht="42" customHeight="1">
      <x:c r="A5" s="152" t="str">
        <x:v>项目名称 project name</x:v>
      </x:c>
      <x:c r="B5" s="153" t="str">
        <x:v>LinkEdu——师生协同的 AI 全场景教育平台</x:v>
      </x:c>
      <x:c r="C5" s="152" t="str">
        <x:v>项目编号 project code</x:v>
      </x:c>
      <x:c r="D5" s="153" t="str">
        <x:v>2026001333</x:v>
      </x:c>
      <x:c r="E5" s="154"/>
      <x:c r="F5" s="155" t="str">
        <x:v>总任务数</x:v>
      </x:c>
      <x:c r="G5" s="155" t="str">
        <x:v>已完成</x:v>
      </x:c>
      <x:c r="H5" s="155" t="str">
        <x:v>项目周期</x:v>
      </x:c>
      <x:c r="I5" s="155" t="str">
        <x:v>团队成员</x:v>
      </x:c>
      <x:c r="J5" s="154"/>
      <x:c r="K5" s="154"/>
      <x:c r="L5" s="154"/>
      <x:c r="M5" s="154"/>
      <x:c r="N5" s="154"/>
      <x:c r="O5" s="154"/>
      <x:c r="P5" s="154"/>
      <x:c r="Q5" s="154"/>
      <x:c r="R5" s="154"/>
      <x:c r="S5" s="154"/>
      <x:c r="T5" s="154"/>
      <x:c r="U5" s="154"/>
      <x:c r="V5" s="154"/>
      <x:c r="W5" s="154"/>
      <x:c r="X5" s="154"/>
      <x:c r="Y5" s="154"/>
      <x:c r="Z5" s="154"/>
      <x:c r="AA5" s="154"/>
    </x:row>
    <x:row r="6" ht="42" customHeight="1">
      <x:c r="A6" s="152" t="str">
        <x:v>编制人 prepared by</x:v>
      </x:c>
      <x:c r="B6" s="153" t="str">
        <x:v>成员1</x:v>
      </x:c>
      <x:c r="C6" s="152" t="str">
        <x:v>审核人 reviewed by</x:v>
      </x:c>
      <x:c r="D6" s="153" t="str">
        <x:v>成员2</x:v>
      </x:c>
      <x:c r="E6" s="154"/>
      <x:c r="F6" s="156" t="n">
        <x:f>COUNTA(A12:A27)</x:f>
        <x:v>16</x:v>
      </x:c>
      <x:c r="G6" s="156" t="n">
        <x:f>COUNTIF(H12:H27,"已完成")</x:f>
        <x:v>16</x:v>
      </x:c>
      <x:c r="H6" s="156" t="str">
        <x:f>"2026-03-02 至 2026-06-29"</x:f>
        <x:v>2026-03-02 至 2026-06-29</x:v>
      </x:c>
      <x:c r="I6" s="156" t="str">
        <x:f>"成员1 / 成员2 / 成员3 / 成员4"</x:f>
        <x:v>成员1 / 成员2 / 成员3 / 成员4</x:v>
      </x:c>
      <x:c r="J6" s="154"/>
      <x:c r="K6" s="154"/>
      <x:c r="L6" s="154"/>
      <x:c r="M6" s="154"/>
      <x:c r="N6" s="154"/>
      <x:c r="O6" s="154"/>
      <x:c r="P6" s="154"/>
      <x:c r="Q6" s="154"/>
      <x:c r="R6" s="154"/>
      <x:c r="S6" s="154"/>
      <x:c r="T6" s="154"/>
      <x:c r="U6" s="154"/>
      <x:c r="V6" s="154"/>
      <x:c r="W6" s="154"/>
      <x:c r="X6" s="154"/>
      <x:c r="Y6" s="154"/>
      <x:c r="Z6" s="154"/>
      <x:c r="AA6" s="154"/>
    </x:row>
    <x:row r="7" ht="42" customHeight="1">
      <x:c r="A7" s="152" t="str">
        <x:v>项目经理 project manager</x:v>
      </x:c>
      <x:c r="B7" s="153" t="str">
        <x:v>成员1</x:v>
      </x:c>
      <x:c r="C7" s="152" t="str">
        <x:v>编制日期 date</x:v>
      </x:c>
      <x:c r="D7" s="157" t="n">
        <x:v>46202</x:v>
      </x:c>
      <x:c r="E7" s="154"/>
      <x:c r="F7" s="154"/>
      <x:c r="G7" s="154"/>
      <x:c r="H7" s="154"/>
      <x:c r="I7" s="154"/>
      <x:c r="J7" s="154"/>
      <x:c r="K7" s="154"/>
      <x:c r="L7" s="154"/>
      <x:c r="M7" s="154"/>
      <x:c r="N7" s="154"/>
      <x:c r="O7" s="154"/>
      <x:c r="P7" s="154"/>
      <x:c r="Q7" s="154"/>
      <x:c r="R7" s="154"/>
      <x:c r="S7" s="154"/>
      <x:c r="T7" s="154"/>
      <x:c r="U7" s="154"/>
      <x:c r="V7" s="154"/>
      <x:c r="W7" s="154"/>
      <x:c r="X7" s="154"/>
      <x:c r="Y7" s="154"/>
      <x:c r="Z7" s="154"/>
      <x:c r="AA7" s="154"/>
    </x:row>
    <x:row r="8" ht="24" customHeight="1">
      <x:c r="A8" s="158" t="str">
        <x:v>II. Project Schedule  项目进度计划</x:v>
      </x:c>
      <x:c r="B8" s="159" t="str">
        <x:v>II. Project Schedule  项目进度计划</x:v>
      </x:c>
      <x:c r="C8" s="159" t="str">
        <x:v>II. Project Schedule  项目进度计划</x:v>
      </x:c>
      <x:c r="D8" s="159" t="str">
        <x:v>II. Project Schedule  项目进度计划</x:v>
      </x:c>
      <x:c r="E8" s="159" t="str">
        <x:v>II. Project Schedule  项目进度计划</x:v>
      </x:c>
      <x:c r="F8" s="159" t="str">
        <x:v>II. Project Schedule  项目进度计划</x:v>
      </x:c>
      <x:c r="G8" s="159" t="str">
        <x:v>II. Project Schedule  项目进度计划</x:v>
      </x:c>
      <x:c r="H8" s="159" t="str">
        <x:v>II. Project Schedule  项目进度计划</x:v>
      </x:c>
      <x:c r="I8" s="159" t="str">
        <x:v>II. Project Schedule  项目进度计划</x:v>
      </x:c>
      <x:c r="J8" s="159" t="str">
        <x:v>II. Project Schedule  项目进度计划</x:v>
      </x:c>
      <x:c r="K8" s="159" t="str">
        <x:v>II. Project Schedule  项目进度计划</x:v>
      </x:c>
      <x:c r="L8" s="159" t="str">
        <x:v>II. Project Schedule  项目进度计划</x:v>
      </x:c>
      <x:c r="M8" s="159" t="str">
        <x:v>II. Project Schedule  项目进度计划</x:v>
      </x:c>
      <x:c r="N8" s="159" t="str">
        <x:v>II. Project Schedule  项目进度计划</x:v>
      </x:c>
      <x:c r="O8" s="159" t="str">
        <x:v>II. Project Schedule  项目进度计划</x:v>
      </x:c>
      <x:c r="P8" s="159" t="str">
        <x:v>II. Project Schedule  项目进度计划</x:v>
      </x:c>
      <x:c r="Q8" s="159" t="str">
        <x:v>II. Project Schedule  项目进度计划</x:v>
      </x:c>
      <x:c r="R8" s="159" t="str">
        <x:v>II. Project Schedule  项目进度计划</x:v>
      </x:c>
      <x:c r="S8" s="159" t="str">
        <x:v>II. Project Schedule  项目进度计划</x:v>
      </x:c>
      <x:c r="T8" s="159" t="str">
        <x:v>II. Project Schedule  项目进度计划</x:v>
      </x:c>
      <x:c r="U8" s="159" t="str">
        <x:v>II. Project Schedule  项目进度计划</x:v>
      </x:c>
      <x:c r="V8" s="159" t="str">
        <x:v>II. Project Schedule  项目进度计划</x:v>
      </x:c>
      <x:c r="W8" s="159" t="str">
        <x:v>II. Project Schedule  项目进度计划</x:v>
      </x:c>
      <x:c r="X8" s="159" t="str">
        <x:v>II. Project Schedule  项目进度计划</x:v>
      </x:c>
      <x:c r="Y8" s="159" t="str">
        <x:v>II. Project Schedule  项目进度计划</x:v>
      </x:c>
      <x:c r="Z8" s="159" t="str">
        <x:v>II. Project Schedule  项目进度计划</x:v>
      </x:c>
      <x:c r="AA8" s="160" t="str">
        <x:v>II. Project Schedule  项目进度计划</x:v>
      </x:c>
    </x:row>
    <x:row r="9">
      <x:c r="A9" s="154"/>
      <x:c r="B9" s="154"/>
      <x:c r="C9" s="154"/>
      <x:c r="D9" s="154"/>
      <x:c r="E9" s="154"/>
      <x:c r="F9" s="154"/>
      <x:c r="G9" s="154"/>
      <x:c r="H9" s="154"/>
      <x:c r="I9" s="154"/>
      <x:c r="J9" s="154"/>
      <x:c r="K9" s="154"/>
      <x:c r="L9" s="154"/>
      <x:c r="M9" s="154"/>
      <x:c r="N9" s="154"/>
      <x:c r="O9" s="154"/>
      <x:c r="P9" s="154"/>
      <x:c r="Q9" s="154"/>
      <x:c r="R9" s="154"/>
      <x:c r="S9" s="154"/>
      <x:c r="T9" s="154"/>
      <x:c r="U9" s="154"/>
      <x:c r="V9" s="154"/>
      <x:c r="W9" s="154"/>
      <x:c r="X9" s="154"/>
      <x:c r="Y9" s="154"/>
      <x:c r="Z9" s="154"/>
      <x:c r="AA9" s="154"/>
    </x:row>
    <x:row r="10" ht="34" customHeight="1">
      <x:c r="A10" s="28" t="str">
        <x:v>编号</x:v>
      </x:c>
      <x:c r="B10" s="28" t="str">
        <x:v>阶段</x:v>
      </x:c>
      <x:c r="C10" s="28" t="str">
        <x:v>任务内容</x:v>
      </x:c>
      <x:c r="D10" s="28" t="str">
        <x:v>负责人 Resp.</x:v>
      </x:c>
      <x:c r="E10" s="28" t="str">
        <x:v>开始日期</x:v>
      </x:c>
      <x:c r="F10" s="28" t="str">
        <x:v>结束日期</x:v>
      </x:c>
      <x:c r="G10" s="28" t="str">
        <x:v>工期</x:v>
      </x:c>
      <x:c r="H10" s="28" t="str">
        <x:v>状态</x:v>
      </x:c>
      <x:c r="I10" s="28" t="str">
        <x:v>完成度</x:v>
      </x:c>
      <x:c r="J10" s="28" t="str">
        <x:v>第1周</x:v>
      </x:c>
      <x:c r="K10" s="28" t="str">
        <x:v>第2周</x:v>
      </x:c>
      <x:c r="L10" s="28" t="str">
        <x:v>第3周</x:v>
      </x:c>
      <x:c r="M10" s="28" t="str">
        <x:v>第4周</x:v>
      </x:c>
      <x:c r="N10" s="28" t="str">
        <x:v>第5周</x:v>
      </x:c>
      <x:c r="O10" s="28" t="str">
        <x:v>第6周</x:v>
      </x:c>
      <x:c r="P10" s="28" t="str">
        <x:v>第7周</x:v>
      </x:c>
      <x:c r="Q10" s="28" t="str">
        <x:v>第8周</x:v>
      </x:c>
      <x:c r="R10" s="28" t="str">
        <x:v>第9周</x:v>
      </x:c>
      <x:c r="S10" s="28" t="str">
        <x:v>第10周</x:v>
      </x:c>
      <x:c r="T10" s="28" t="str">
        <x:v>第11周</x:v>
      </x:c>
      <x:c r="U10" s="28" t="str">
        <x:v>第12周</x:v>
      </x:c>
      <x:c r="V10" s="28" t="str">
        <x:v>第13周</x:v>
      </x:c>
      <x:c r="W10" s="28" t="str">
        <x:v>第14周</x:v>
      </x:c>
      <x:c r="X10" s="28" t="str">
        <x:v>第15周</x:v>
      </x:c>
      <x:c r="Y10" s="28" t="str">
        <x:v>第16周</x:v>
      </x:c>
      <x:c r="Z10" s="28" t="str">
        <x:v>第17周</x:v>
      </x:c>
      <x:c r="AA10" s="28" t="str">
        <x:v>第18周</x:v>
      </x:c>
    </x:row>
    <x:row r="11">
      <x:c r="A11" s="154"/>
      <x:c r="B11" s="154"/>
      <x:c r="C11" s="154"/>
      <x:c r="D11" s="154"/>
      <x:c r="E11" s="154"/>
      <x:c r="F11" s="154"/>
      <x:c r="G11" s="154"/>
      <x:c r="H11" s="154"/>
      <x:c r="I11" s="154"/>
      <x:c r="J11" s="154"/>
      <x:c r="K11" s="154"/>
      <x:c r="L11" s="154"/>
      <x:c r="M11" s="154"/>
      <x:c r="N11" s="154"/>
      <x:c r="O11" s="154"/>
      <x:c r="P11" s="154"/>
      <x:c r="Q11" s="154"/>
      <x:c r="R11" s="154"/>
      <x:c r="S11" s="154"/>
      <x:c r="T11" s="154"/>
      <x:c r="U11" s="154"/>
      <x:c r="V11" s="154"/>
      <x:c r="W11" s="154"/>
      <x:c r="X11" s="154"/>
      <x:c r="Y11" s="154"/>
      <x:c r="Z11" s="154"/>
      <x:c r="AA11" s="154"/>
    </x:row>
    <x:row r="12" ht="34" customHeight="1">
      <x:c r="A12" s="48" t="str">
        <x:v>1</x:v>
      </x:c>
      <x:c r="B12" s="48" t="str">
        <x:v>需求调研</x:v>
      </x:c>
      <x:c r="C12" s="49" t="str">
        <x:v>教育场景调研、竞品分析、功能范围确认</x:v>
      </x:c>
      <x:c r="D12" s="54" t="str">
        <x:v>成员1</x:v>
      </x:c>
      <x:c r="E12" s="50" t="n">
        <x:v>46083</x:v>
      </x:c>
      <x:c r="F12" s="50" t="n">
        <x:v>46096</x:v>
      </x:c>
      <x:c r="G12" s="51" t="n">
        <x:f>F12-E12+1</x:f>
        <x:v>14</x:v>
      </x:c>
      <x:c r="H12" s="56" t="str">
        <x:v>已完成</x:v>
      </x:c>
      <x:c r="I12" s="58" t="n">
        <x:v>1</x:v>
      </x:c>
      <x:c r="J12" s="62" t="str">
        <x:v>●</x:v>
      </x:c>
      <x:c r="K12" s="62" t="str">
        <x:v>●</x:v>
      </x:c>
      <x:c r="L12" s="40" t="str"/>
      <x:c r="M12" s="40" t="str"/>
      <x:c r="N12" s="40" t="str"/>
      <x:c r="O12" s="40" t="str"/>
      <x:c r="P12" s="40" t="str"/>
      <x:c r="Q12" s="40" t="str"/>
      <x:c r="R12" s="40" t="str"/>
      <x:c r="S12" s="40" t="str"/>
      <x:c r="T12" s="40" t="str"/>
      <x:c r="U12" s="40" t="str"/>
      <x:c r="V12" s="40" t="str"/>
      <x:c r="W12" s="40" t="str"/>
      <x:c r="X12" s="40" t="str"/>
      <x:c r="Y12" s="40" t="str"/>
      <x:c r="Z12" s="40" t="str"/>
      <x:c r="AA12" s="40" t="str"/>
    </x:row>
    <x:row r="13" ht="34" customHeight="1">
      <x:c r="A13" s="48" t="str">
        <x:v>2</x:v>
      </x:c>
      <x:c r="B13" s="48" t="str">
        <x:v>总体设计</x:v>
      </x:c>
      <x:c r="C13" s="49" t="str">
        <x:v>系统架构、双角色工作台、数据存储与接口规划</x:v>
      </x:c>
      <x:c r="D13" s="64" t="str">
        <x:v>成员1/成员2</x:v>
      </x:c>
      <x:c r="E13" s="50" t="n">
        <x:v>46090</x:v>
      </x:c>
      <x:c r="F13" s="50" t="n">
        <x:v>46103</x:v>
      </x:c>
      <x:c r="G13" s="51" t="n">
        <x:f>F13-E13+1</x:f>
        <x:v>14</x:v>
      </x:c>
      <x:c r="H13" s="56" t="str">
        <x:v>已完成</x:v>
      </x:c>
      <x:c r="I13" s="58" t="n">
        <x:v>1</x:v>
      </x:c>
      <x:c r="J13" s="40" t="str"/>
      <x:c r="K13" s="68" t="str">
        <x:v>●</x:v>
      </x:c>
      <x:c r="L13" s="68" t="str">
        <x:v>●</x:v>
      </x:c>
      <x:c r="M13" s="40" t="str"/>
      <x:c r="N13" s="40" t="str"/>
      <x:c r="O13" s="40" t="str"/>
      <x:c r="P13" s="40" t="str"/>
      <x:c r="Q13" s="40" t="str"/>
      <x:c r="R13" s="40" t="str"/>
      <x:c r="S13" s="40" t="str"/>
      <x:c r="T13" s="40" t="str"/>
      <x:c r="U13" s="40" t="str"/>
      <x:c r="V13" s="40" t="str"/>
      <x:c r="W13" s="40" t="str"/>
      <x:c r="X13" s="40" t="str"/>
      <x:c r="Y13" s="40" t="str"/>
      <x:c r="Z13" s="40" t="str"/>
      <x:c r="AA13" s="40" t="str"/>
    </x:row>
    <x:row r="14" ht="34" customHeight="1">
      <x:c r="A14" s="48" t="str">
        <x:v>3</x:v>
      </x:c>
      <x:c r="B14" s="48" t="str">
        <x:v>环境搭建</x:v>
      </x:c>
      <x:c r="C14" s="49" t="str">
        <x:v>FastAPI、Vue3、SQLite、JSON 存储和项目目录初始化</x:v>
      </x:c>
      <x:c r="D14" s="54" t="str">
        <x:v>成员1</x:v>
      </x:c>
      <x:c r="E14" s="50" t="n">
        <x:v>46097</x:v>
      </x:c>
      <x:c r="F14" s="50" t="n">
        <x:v>46110</x:v>
      </x:c>
      <x:c r="G14" s="51" t="n">
        <x:f>F14-E14+1</x:f>
        <x:v>14</x:v>
      </x:c>
      <x:c r="H14" s="56" t="str">
        <x:v>已完成</x:v>
      </x:c>
      <x:c r="I14" s="58" t="n">
        <x:v>1</x:v>
      </x:c>
      <x:c r="J14" s="40" t="str"/>
      <x:c r="K14" s="40" t="str"/>
      <x:c r="L14" s="62" t="str">
        <x:v>●</x:v>
      </x:c>
      <x:c r="M14" s="62" t="str">
        <x:v>●</x:v>
      </x:c>
      <x:c r="N14" s="40" t="str"/>
      <x:c r="O14" s="40" t="str"/>
      <x:c r="P14" s="40" t="str"/>
      <x:c r="Q14" s="40" t="str"/>
      <x:c r="R14" s="40" t="str"/>
      <x:c r="S14" s="40" t="str"/>
      <x:c r="T14" s="40" t="str"/>
      <x:c r="U14" s="40" t="str"/>
      <x:c r="V14" s="40" t="str"/>
      <x:c r="W14" s="40" t="str"/>
      <x:c r="X14" s="40" t="str"/>
      <x:c r="Y14" s="40" t="str"/>
      <x:c r="Z14" s="40" t="str"/>
      <x:c r="AA14" s="40" t="str"/>
    </x:row>
    <x:row r="15" ht="34" customHeight="1">
      <x:c r="A15" s="48" t="str">
        <x:v>4</x:v>
      </x:c>
      <x:c r="B15" s="48" t="str">
        <x:v>账户与角色</x:v>
      </x:c>
      <x:c r="C15" s="49" t="str">
        <x:v>统一认证、教师/学生角色隔离、会话 token 管理</x:v>
      </x:c>
      <x:c r="D15" s="64" t="str">
        <x:v>成员1/成员2</x:v>
      </x:c>
      <x:c r="E15" s="50" t="n">
        <x:v>46104</x:v>
      </x:c>
      <x:c r="F15" s="50" t="n">
        <x:v>46117</x:v>
      </x:c>
      <x:c r="G15" s="51" t="n">
        <x:f>F15-E15+1</x:f>
        <x:v>14</x:v>
      </x:c>
      <x:c r="H15" s="56" t="str">
        <x:v>已完成</x:v>
      </x:c>
      <x:c r="I15" s="58" t="n">
        <x:v>1</x:v>
      </x:c>
      <x:c r="J15" s="40" t="str"/>
      <x:c r="K15" s="40" t="str"/>
      <x:c r="L15" s="40" t="str"/>
      <x:c r="M15" s="68" t="str">
        <x:v>●</x:v>
      </x:c>
      <x:c r="N15" s="68" t="str">
        <x:v>●</x:v>
      </x:c>
      <x:c r="O15" s="40" t="str"/>
      <x:c r="P15" s="40" t="str"/>
      <x:c r="Q15" s="40" t="str"/>
      <x:c r="R15" s="40" t="str"/>
      <x:c r="S15" s="40" t="str"/>
      <x:c r="T15" s="40" t="str"/>
      <x:c r="U15" s="40" t="str"/>
      <x:c r="V15" s="40" t="str"/>
      <x:c r="W15" s="40" t="str"/>
      <x:c r="X15" s="40" t="str"/>
      <x:c r="Y15" s="40" t="str"/>
      <x:c r="Z15" s="40" t="str"/>
      <x:c r="AA15" s="40" t="str"/>
    </x:row>
    <x:row r="16" ht="34" customHeight="1">
      <x:c r="A16" s="48" t="str">
        <x:v>5</x:v>
      </x:c>
      <x:c r="B16" s="48" t="str">
        <x:v>资料管理</x:v>
      </x:c>
      <x:c r="C16" s="49" t="str">
        <x:v>文件库、PDF/DOCX/Markdown/TXT 解析与元数据保存</x:v>
      </x:c>
      <x:c r="D16" s="70" t="str">
        <x:v>成员3</x:v>
      </x:c>
      <x:c r="E16" s="50" t="n">
        <x:v>46111</x:v>
      </x:c>
      <x:c r="F16" s="50" t="n">
        <x:v>46124</x:v>
      </x:c>
      <x:c r="G16" s="51" t="n">
        <x:f>F16-E16+1</x:f>
        <x:v>14</x:v>
      </x:c>
      <x:c r="H16" s="56" t="str">
        <x:v>已完成</x:v>
      </x:c>
      <x:c r="I16" s="58" t="n">
        <x:v>1</x:v>
      </x:c>
      <x:c r="J16" s="40" t="str"/>
      <x:c r="K16" s="40" t="str"/>
      <x:c r="L16" s="40" t="str"/>
      <x:c r="M16" s="40" t="str"/>
      <x:c r="N16" s="74" t="str">
        <x:v>●</x:v>
      </x:c>
      <x:c r="O16" s="74" t="str">
        <x:v>●</x:v>
      </x:c>
      <x:c r="P16" s="40" t="str"/>
      <x:c r="Q16" s="40" t="str"/>
      <x:c r="R16" s="40" t="str"/>
      <x:c r="S16" s="40" t="str"/>
      <x:c r="T16" s="40" t="str"/>
      <x:c r="U16" s="40" t="str"/>
      <x:c r="V16" s="40" t="str"/>
      <x:c r="W16" s="40" t="str"/>
      <x:c r="X16" s="40" t="str"/>
      <x:c r="Y16" s="40" t="str"/>
      <x:c r="Z16" s="40" t="str"/>
      <x:c r="AA16" s="40" t="str"/>
    </x:row>
    <x:row r="17" ht="34" customHeight="1">
      <x:c r="A17" s="48" t="str">
        <x:v>6</x:v>
      </x:c>
      <x:c r="B17" s="48" t="str">
        <x:v>资料增强问答</x:v>
      </x:c>
      <x:c r="C17" s="49" t="str">
        <x:v>上下文拼接、角色自适应提示和对话历史持久化</x:v>
      </x:c>
      <x:c r="D17" s="70" t="str">
        <x:v>成员3</x:v>
      </x:c>
      <x:c r="E17" s="50" t="n">
        <x:v>46118</x:v>
      </x:c>
      <x:c r="F17" s="50" t="n">
        <x:v>46131</x:v>
      </x:c>
      <x:c r="G17" s="51" t="n">
        <x:f>F17-E17+1</x:f>
        <x:v>14</x:v>
      </x:c>
      <x:c r="H17" s="56" t="str">
        <x:v>已完成</x:v>
      </x:c>
      <x:c r="I17" s="58" t="n">
        <x:v>1</x:v>
      </x:c>
      <x:c r="J17" s="40" t="str"/>
      <x:c r="K17" s="40" t="str"/>
      <x:c r="L17" s="40" t="str"/>
      <x:c r="M17" s="40" t="str"/>
      <x:c r="N17" s="40" t="str"/>
      <x:c r="O17" s="74" t="str">
        <x:v>●</x:v>
      </x:c>
      <x:c r="P17" s="74" t="str">
        <x:v>●</x:v>
      </x:c>
      <x:c r="Q17" s="40" t="str"/>
      <x:c r="R17" s="40" t="str"/>
      <x:c r="S17" s="40" t="str"/>
      <x:c r="T17" s="40" t="str"/>
      <x:c r="U17" s="40" t="str"/>
      <x:c r="V17" s="40" t="str"/>
      <x:c r="W17" s="40" t="str"/>
      <x:c r="X17" s="40" t="str"/>
      <x:c r="Y17" s="40" t="str"/>
      <x:c r="Z17" s="40" t="str"/>
      <x:c r="AA17" s="40" t="str"/>
    </x:row>
    <x:row r="18" ht="34" customHeight="1">
      <x:c r="A18" s="48" t="str">
        <x:v>7</x:v>
      </x:c>
      <x:c r="B18" s="48" t="str">
        <x:v>教师端核心功能</x:v>
      </x:c>
      <x:c r="C18" s="49" t="str">
        <x:v>教案、测验、试卷生成及教师端历史记录</x:v>
      </x:c>
      <x:c r="D18" s="76" t="str">
        <x:v>成员2/成员3</x:v>
      </x:c>
      <x:c r="E18" s="50" t="n">
        <x:v>46125</x:v>
      </x:c>
      <x:c r="F18" s="50" t="n">
        <x:v>46145</x:v>
      </x:c>
      <x:c r="G18" s="51" t="n">
        <x:f>F18-E18+1</x:f>
        <x:v>21</x:v>
      </x:c>
      <x:c r="H18" s="56" t="str">
        <x:v>已完成</x:v>
      </x:c>
      <x:c r="I18" s="58" t="n">
        <x:v>1</x:v>
      </x:c>
      <x:c r="J18" s="40" t="str"/>
      <x:c r="K18" s="40" t="str"/>
      <x:c r="L18" s="40" t="str"/>
      <x:c r="M18" s="40" t="str"/>
      <x:c r="N18" s="40" t="str"/>
      <x:c r="O18" s="40" t="str"/>
      <x:c r="P18" s="80" t="str">
        <x:v>●</x:v>
      </x:c>
      <x:c r="Q18" s="80" t="str">
        <x:v>●</x:v>
      </x:c>
      <x:c r="R18" s="80" t="str">
        <x:v>●</x:v>
      </x:c>
      <x:c r="S18" s="40" t="str"/>
      <x:c r="T18" s="40" t="str"/>
      <x:c r="U18" s="40" t="str"/>
      <x:c r="V18" s="40" t="str"/>
      <x:c r="W18" s="40" t="str"/>
      <x:c r="X18" s="40" t="str"/>
      <x:c r="Y18" s="40" t="str"/>
      <x:c r="Z18" s="40" t="str"/>
      <x:c r="AA18" s="40" t="str"/>
    </x:row>
    <x:row r="19" ht="34" customHeight="1">
      <x:c r="A19" s="48" t="str">
        <x:v>8</x:v>
      </x:c>
      <x:c r="B19" s="48" t="str">
        <x:v>学生端核心功能</x:v>
      </x:c>
      <x:c r="C19" s="49" t="str">
        <x:v>智能笔记、知识卡片、学习记录汇和资料复用</x:v>
      </x:c>
      <x:c r="D19" s="76" t="str">
        <x:v>成员2/成员3</x:v>
      </x:c>
      <x:c r="E19" s="50" t="n">
        <x:v>46132</x:v>
      </x:c>
      <x:c r="F19" s="50" t="n">
        <x:v>46152</x:v>
      </x:c>
      <x:c r="G19" s="51" t="n">
        <x:f>F19-E19+1</x:f>
        <x:v>21</x:v>
      </x:c>
      <x:c r="H19" s="56" t="str">
        <x:v>已完成</x:v>
      </x:c>
      <x:c r="I19" s="58" t="n">
        <x:v>1</x:v>
      </x:c>
      <x:c r="J19" s="40" t="str"/>
      <x:c r="K19" s="40" t="str"/>
      <x:c r="L19" s="40" t="str"/>
      <x:c r="M19" s="40" t="str"/>
      <x:c r="N19" s="40" t="str"/>
      <x:c r="O19" s="40" t="str"/>
      <x:c r="P19" s="40" t="str"/>
      <x:c r="Q19" s="80" t="str">
        <x:v>●</x:v>
      </x:c>
      <x:c r="R19" s="80" t="str">
        <x:v>●</x:v>
      </x:c>
      <x:c r="S19" s="80" t="str">
        <x:v>●</x:v>
      </x:c>
      <x:c r="T19" s="40" t="str"/>
      <x:c r="U19" s="40" t="str"/>
      <x:c r="V19" s="40" t="str"/>
      <x:c r="W19" s="40" t="str"/>
      <x:c r="X19" s="40" t="str"/>
      <x:c r="Y19" s="40" t="str"/>
      <x:c r="Z19" s="40" t="str"/>
      <x:c r="AA19" s="40" t="str"/>
    </x:row>
    <x:row r="20" ht="34" customHeight="1">
      <x:c r="A20" s="48" t="str">
        <x:v>9</x:v>
      </x:c>
      <x:c r="B20" s="48" t="str">
        <x:v>错题诊断</x:v>
      </x:c>
      <x:c r="C20" s="49" t="str">
        <x:v>错题本、掌握率趋势、薄弱知识点识别与复习建议</x:v>
      </x:c>
      <x:c r="D20" s="82" t="str">
        <x:v>成员4</x:v>
      </x:c>
      <x:c r="E20" s="50" t="n">
        <x:v>46146</x:v>
      </x:c>
      <x:c r="F20" s="50" t="n">
        <x:v>46159</x:v>
      </x:c>
      <x:c r="G20" s="51" t="n">
        <x:f>F20-E20+1</x:f>
        <x:v>14</x:v>
      </x:c>
      <x:c r="H20" s="56" t="str">
        <x:v>已完成</x:v>
      </x:c>
      <x:c r="I20" s="58" t="n">
        <x:v>1</x:v>
      </x:c>
      <x:c r="J20" s="40" t="str"/>
      <x:c r="K20" s="40" t="str"/>
      <x:c r="L20" s="40" t="str"/>
      <x:c r="M20" s="40" t="str"/>
      <x:c r="N20" s="40" t="str"/>
      <x:c r="O20" s="40" t="str"/>
      <x:c r="P20" s="40" t="str"/>
      <x:c r="Q20" s="40" t="str"/>
      <x:c r="R20" s="40" t="str"/>
      <x:c r="S20" s="86" t="str">
        <x:v>●</x:v>
      </x:c>
      <x:c r="T20" s="86" t="str">
        <x:v>●</x:v>
      </x:c>
      <x:c r="U20" s="40" t="str"/>
      <x:c r="V20" s="40" t="str"/>
      <x:c r="W20" s="40" t="str"/>
      <x:c r="X20" s="40" t="str"/>
      <x:c r="Y20" s="40" t="str"/>
      <x:c r="Z20" s="40" t="str"/>
      <x:c r="AA20" s="40" t="str"/>
    </x:row>
    <x:row r="21" ht="34" customHeight="1">
      <x:c r="A21" s="48" t="str">
        <x:v>10</x:v>
      </x:c>
      <x:c r="B21" s="48" t="str">
        <x:v>幻灯片生成</x:v>
      </x:c>
      <x:c r="C21" s="49" t="str">
        <x:v>SlidesAgent、课程大纲、逐页配图和结果展示</x:v>
      </x:c>
      <x:c r="D21" s="70" t="str">
        <x:v>成员3</x:v>
      </x:c>
      <x:c r="E21" s="50" t="n">
        <x:v>46146</x:v>
      </x:c>
      <x:c r="F21" s="50" t="n">
        <x:v>46166</x:v>
      </x:c>
      <x:c r="G21" s="51" t="n">
        <x:f>F21-E21+1</x:f>
        <x:v>21</x:v>
      </x:c>
      <x:c r="H21" s="56" t="str">
        <x:v>已完成</x:v>
      </x:c>
      <x:c r="I21" s="58" t="n">
        <x:v>1</x:v>
      </x:c>
      <x:c r="J21" s="40" t="str"/>
      <x:c r="K21" s="40" t="str"/>
      <x:c r="L21" s="40" t="str"/>
      <x:c r="M21" s="40" t="str"/>
      <x:c r="N21" s="40" t="str"/>
      <x:c r="O21" s="40" t="str"/>
      <x:c r="P21" s="40" t="str"/>
      <x:c r="Q21" s="40" t="str"/>
      <x:c r="R21" s="40" t="str"/>
      <x:c r="S21" s="74" t="str">
        <x:v>●</x:v>
      </x:c>
      <x:c r="T21" s="74" t="str">
        <x:v>●</x:v>
      </x:c>
      <x:c r="U21" s="74" t="str">
        <x:v>●</x:v>
      </x:c>
      <x:c r="V21" s="40" t="str"/>
      <x:c r="W21" s="40" t="str"/>
      <x:c r="X21" s="40" t="str"/>
      <x:c r="Y21" s="40" t="str"/>
      <x:c r="Z21" s="40" t="str"/>
      <x:c r="AA21" s="40" t="str"/>
    </x:row>
    <x:row r="22" ht="34" customHeight="1">
      <x:c r="A22" s="48" t="str">
        <x:v>11</x:v>
      </x:c>
      <x:c r="B22" s="48" t="str">
        <x:v>播客与口语</x:v>
      </x:c>
      <x:c r="C22" s="49" t="str">
        <x:v>PodcastAgent、TTS、ffmpeg 音频合成、英语口语交互</x:v>
      </x:c>
      <x:c r="D22" s="88" t="str">
        <x:v>成员3/成员4</x:v>
      </x:c>
      <x:c r="E22" s="50" t="n">
        <x:v>46153</x:v>
      </x:c>
      <x:c r="F22" s="50" t="n">
        <x:v>46173</x:v>
      </x:c>
      <x:c r="G22" s="51" t="n">
        <x:f>F22-E22+1</x:f>
        <x:v>21</x:v>
      </x:c>
      <x:c r="H22" s="56" t="str">
        <x:v>已完成</x:v>
      </x:c>
      <x:c r="I22" s="58" t="n">
        <x:v>1</x:v>
      </x:c>
      <x:c r="J22" s="40" t="str"/>
      <x:c r="K22" s="40" t="str"/>
      <x:c r="L22" s="40" t="str"/>
      <x:c r="M22" s="40" t="str"/>
      <x:c r="N22" s="40" t="str"/>
      <x:c r="O22" s="40" t="str"/>
      <x:c r="P22" s="40" t="str"/>
      <x:c r="Q22" s="40" t="str"/>
      <x:c r="R22" s="40" t="str"/>
      <x:c r="S22" s="40" t="str"/>
      <x:c r="T22" s="92" t="str">
        <x:v>●</x:v>
      </x:c>
      <x:c r="U22" s="92" t="str">
        <x:v>●</x:v>
      </x:c>
      <x:c r="V22" s="92" t="str">
        <x:v>●</x:v>
      </x:c>
      <x:c r="W22" s="40" t="str"/>
      <x:c r="X22" s="40" t="str"/>
      <x:c r="Y22" s="40" t="str"/>
      <x:c r="Z22" s="40" t="str"/>
      <x:c r="AA22" s="40" t="str"/>
    </x:row>
    <x:row r="23" ht="34" customHeight="1">
      <x:c r="A23" s="48" t="str">
        <x:v>12</x:v>
      </x:c>
      <x:c r="B23" s="48" t="str">
        <x:v>教学视频</x:v>
      </x:c>
      <x:c r="C23" s="49" t="str">
        <x:v>TeachingVideoAgent、脚本生成、配音和视频任务状态回传</x:v>
      </x:c>
      <x:c r="D23" s="70" t="str">
        <x:v>成员3</x:v>
      </x:c>
      <x:c r="E23" s="50" t="n">
        <x:v>46160</x:v>
      </x:c>
      <x:c r="F23" s="50" t="n">
        <x:v>46180</x:v>
      </x:c>
      <x:c r="G23" s="51" t="n">
        <x:f>F23-E23+1</x:f>
        <x:v>21</x:v>
      </x:c>
      <x:c r="H23" s="56" t="str">
        <x:v>已完成</x:v>
      </x:c>
      <x:c r="I23" s="58" t="n">
        <x:v>1</x:v>
      </x:c>
      <x:c r="J23" s="40" t="str"/>
      <x:c r="K23" s="40" t="str"/>
      <x:c r="L23" s="40" t="str"/>
      <x:c r="M23" s="40" t="str"/>
      <x:c r="N23" s="40" t="str"/>
      <x:c r="O23" s="40" t="str"/>
      <x:c r="P23" s="40" t="str"/>
      <x:c r="Q23" s="40" t="str"/>
      <x:c r="R23" s="40" t="str"/>
      <x:c r="S23" s="40" t="str"/>
      <x:c r="T23" s="40" t="str"/>
      <x:c r="U23" s="74" t="str">
        <x:v>●</x:v>
      </x:c>
      <x:c r="V23" s="74" t="str">
        <x:v>●</x:v>
      </x:c>
      <x:c r="W23" s="74" t="str">
        <x:v>●</x:v>
      </x:c>
      <x:c r="X23" s="40" t="str"/>
      <x:c r="Y23" s="40" t="str"/>
      <x:c r="Z23" s="40" t="str"/>
      <x:c r="AA23" s="40" t="str"/>
    </x:row>
    <x:row r="24" ht="34" customHeight="1">
      <x:c r="A24" s="48" t="str">
        <x:v>13</x:v>
      </x:c>
      <x:c r="B24" s="48" t="str">
        <x:v>WebSocket与异步任务</x:v>
      </x:c>
      <x:c r="C24" s="49" t="str">
        <x:v>长耗时任务创建、阶段化进度反馈、失败提示优化</x:v>
      </x:c>
      <x:c r="D24" s="94" t="str">
        <x:v>成员1/成员3</x:v>
      </x:c>
      <x:c r="E24" s="50" t="n">
        <x:v>46167</x:v>
      </x:c>
      <x:c r="F24" s="50" t="n">
        <x:v>46180</x:v>
      </x:c>
      <x:c r="G24" s="51" t="n">
        <x:f>F24-E24+1</x:f>
        <x:v>14</x:v>
      </x:c>
      <x:c r="H24" s="56" t="str">
        <x:v>已完成</x:v>
      </x:c>
      <x:c r="I24" s="58" t="n">
        <x:v>1</x:v>
      </x:c>
      <x:c r="J24" s="40" t="str"/>
      <x:c r="K24" s="40" t="str"/>
      <x:c r="L24" s="40" t="str"/>
      <x:c r="M24" s="40" t="str"/>
      <x:c r="N24" s="40" t="str"/>
      <x:c r="O24" s="40" t="str"/>
      <x:c r="P24" s="40" t="str"/>
      <x:c r="Q24" s="40" t="str"/>
      <x:c r="R24" s="40" t="str"/>
      <x:c r="S24" s="40" t="str"/>
      <x:c r="T24" s="40" t="str"/>
      <x:c r="U24" s="40" t="str"/>
      <x:c r="V24" s="98" t="str">
        <x:v>●</x:v>
      </x:c>
      <x:c r="W24" s="98" t="str">
        <x:v>●</x:v>
      </x:c>
      <x:c r="X24" s="40" t="str"/>
      <x:c r="Y24" s="40" t="str"/>
      <x:c r="Z24" s="40" t="str"/>
      <x:c r="AA24" s="40" t="str"/>
    </x:row>
    <x:row r="25" ht="34" customHeight="1">
      <x:c r="A25" s="48" t="str">
        <x:v>14</x:v>
      </x:c>
      <x:c r="B25" s="48" t="str">
        <x:v>测试与评测</x:v>
      </x:c>
      <x:c r="C25" s="49" t="str">
        <x:v>功能测试、LinkEdu-QA Benchmark、质量指标统计</x:v>
      </x:c>
      <x:c r="D25" s="82" t="str">
        <x:v>成员4</x:v>
      </x:c>
      <x:c r="E25" s="50" t="n">
        <x:v>46174</x:v>
      </x:c>
      <x:c r="F25" s="50" t="n">
        <x:v>46187</x:v>
      </x:c>
      <x:c r="G25" s="51" t="n">
        <x:f>F25-E25+1</x:f>
        <x:v>14</x:v>
      </x:c>
      <x:c r="H25" s="56" t="str">
        <x:v>已完成</x:v>
      </x:c>
      <x:c r="I25" s="58" t="n">
        <x:v>1</x:v>
      </x:c>
      <x:c r="J25" s="40" t="str"/>
      <x:c r="K25" s="40" t="str"/>
      <x:c r="L25" s="40" t="str"/>
      <x:c r="M25" s="40" t="str"/>
      <x:c r="N25" s="40" t="str"/>
      <x:c r="O25" s="40" t="str"/>
      <x:c r="P25" s="40" t="str"/>
      <x:c r="Q25" s="40" t="str"/>
      <x:c r="R25" s="40" t="str"/>
      <x:c r="S25" s="40" t="str"/>
      <x:c r="T25" s="40" t="str"/>
      <x:c r="U25" s="40" t="str"/>
      <x:c r="V25" s="40" t="str"/>
      <x:c r="W25" s="86" t="str">
        <x:v>●</x:v>
      </x:c>
      <x:c r="X25" s="86" t="str">
        <x:v>●</x:v>
      </x:c>
      <x:c r="Y25" s="40" t="str"/>
      <x:c r="Z25" s="40" t="str"/>
      <x:c r="AA25" s="40" t="str"/>
    </x:row>
    <x:row r="26" ht="34" customHeight="1">
      <x:c r="A26" s="48" t="str">
        <x:v>15</x:v>
      </x:c>
      <x:c r="B26" s="48" t="str">
        <x:v>部署上线</x:v>
      </x:c>
      <x:c r="C26" s="49" t="str">
        <x:v>服务器部署、Docker 方案整理、公网展示验证</x:v>
      </x:c>
      <x:c r="D26" s="100" t="str">
        <x:v>成员1/成员4</x:v>
      </x:c>
      <x:c r="E26" s="50" t="n">
        <x:v>46181</x:v>
      </x:c>
      <x:c r="F26" s="50" t="n">
        <x:v>46194</x:v>
      </x:c>
      <x:c r="G26" s="51" t="n">
        <x:f>F26-E26+1</x:f>
        <x:v>14</x:v>
      </x:c>
      <x:c r="H26" s="56" t="str">
        <x:v>已完成</x:v>
      </x:c>
      <x:c r="I26" s="58" t="n">
        <x:v>1</x:v>
      </x:c>
      <x:c r="J26" s="40" t="str"/>
      <x:c r="K26" s="40" t="str"/>
      <x:c r="L26" s="40" t="str"/>
      <x:c r="M26" s="40" t="str"/>
      <x:c r="N26" s="40" t="str"/>
      <x:c r="O26" s="40" t="str"/>
      <x:c r="P26" s="40" t="str"/>
      <x:c r="Q26" s="40" t="str"/>
      <x:c r="R26" s="40" t="str"/>
      <x:c r="S26" s="40" t="str"/>
      <x:c r="T26" s="40" t="str"/>
      <x:c r="U26" s="40" t="str"/>
      <x:c r="V26" s="40" t="str"/>
      <x:c r="W26" s="40" t="str"/>
      <x:c r="X26" s="104" t="str">
        <x:v>●</x:v>
      </x:c>
      <x:c r="Y26" s="104" t="str">
        <x:v>●</x:v>
      </x:c>
      <x:c r="Z26" s="40" t="str"/>
      <x:c r="AA26" s="40" t="str"/>
    </x:row>
    <x:row r="27" ht="34" customHeight="1">
      <x:c r="A27" s="48" t="str">
        <x:v>16</x:v>
      </x:c>
      <x:c r="B27" s="48" t="str">
        <x:v>文档与答辩</x:v>
      </x:c>
      <x:c r="C27" s="49" t="str">
        <x:v>作品报告、用户手册、部署文档、答辩 PPT 和提交材料</x:v>
      </x:c>
      <x:c r="D27" s="106" t="str">
        <x:v>全体成员</x:v>
      </x:c>
      <x:c r="E27" s="50" t="n">
        <x:v>46188</x:v>
      </x:c>
      <x:c r="F27" s="50" t="n">
        <x:v>46202</x:v>
      </x:c>
      <x:c r="G27" s="51" t="n">
        <x:f>F27-E27+1</x:f>
        <x:v>15</x:v>
      </x:c>
      <x:c r="H27" s="56" t="str">
        <x:v>已完成</x:v>
      </x:c>
      <x:c r="I27" s="58" t="n">
        <x:v>1</x:v>
      </x:c>
      <x:c r="J27" s="40" t="str"/>
      <x:c r="K27" s="40" t="str"/>
      <x:c r="L27" s="40" t="str"/>
      <x:c r="M27" s="40" t="str"/>
      <x:c r="N27" s="40" t="str"/>
      <x:c r="O27" s="40" t="str"/>
      <x:c r="P27" s="40" t="str"/>
      <x:c r="Q27" s="40" t="str"/>
      <x:c r="R27" s="40" t="str"/>
      <x:c r="S27" s="40" t="str"/>
      <x:c r="T27" s="40" t="str"/>
      <x:c r="U27" s="40" t="str"/>
      <x:c r="V27" s="40" t="str"/>
      <x:c r="W27" s="40" t="str"/>
      <x:c r="X27" s="40" t="str"/>
      <x:c r="Y27" s="110" t="str">
        <x:v>●</x:v>
      </x:c>
      <x:c r="Z27" s="110" t="str">
        <x:v>●</x:v>
      </x:c>
      <x:c r="AA27" s="110" t="str">
        <x:v>●</x:v>
      </x:c>
    </x:row>
    <x:row r="28">
      <x:c r="A28" s="154"/>
      <x:c r="B28" s="154"/>
      <x:c r="C28" s="154"/>
      <x:c r="D28" s="154"/>
      <x:c r="E28" s="154"/>
      <x:c r="F28" s="154"/>
      <x:c r="G28" s="154"/>
      <x:c r="H28" s="154"/>
      <x:c r="I28" s="154"/>
      <x:c r="J28" s="154"/>
      <x:c r="K28" s="154"/>
      <x:c r="L28" s="154"/>
      <x:c r="M28" s="154"/>
      <x:c r="N28" s="154"/>
      <x:c r="O28" s="154"/>
      <x:c r="P28" s="154"/>
      <x:c r="Q28" s="154"/>
      <x:c r="R28" s="154"/>
      <x:c r="S28" s="154"/>
      <x:c r="T28" s="154"/>
      <x:c r="U28" s="154"/>
      <x:c r="V28" s="154"/>
      <x:c r="W28" s="154"/>
      <x:c r="X28" s="154"/>
      <x:c r="Y28" s="154"/>
      <x:c r="Z28" s="154"/>
      <x:c r="AA28" s="154"/>
    </x:row>
    <x:row r="29">
      <x:c r="A29" s="161" t="str">
        <x:v>里程碑 Milestone</x:v>
      </x:c>
      <x:c r="B29" s="162" t="str">
        <x:v>里程碑 Milestone</x:v>
      </x:c>
      <x:c r="C29" s="162" t="str">
        <x:v>里程碑 Milestone</x:v>
      </x:c>
      <x:c r="D29" s="162" t="str">
        <x:v>里程碑 Milestone</x:v>
      </x:c>
      <x:c r="E29" s="162" t="str">
        <x:v>里程碑 Milestone</x:v>
      </x:c>
      <x:c r="F29" s="162" t="str">
        <x:v>里程碑 Milestone</x:v>
      </x:c>
      <x:c r="G29" s="162" t="str">
        <x:v>里程碑 Milestone</x:v>
      </x:c>
      <x:c r="H29" s="162" t="str">
        <x:v>里程碑 Milestone</x:v>
      </x:c>
      <x:c r="I29" s="162" t="str">
        <x:v>里程碑 Milestone</x:v>
      </x:c>
      <x:c r="J29" s="162" t="str">
        <x:v>里程碑 Milestone</x:v>
      </x:c>
      <x:c r="K29" s="162" t="str">
        <x:v>里程碑 Milestone</x:v>
      </x:c>
      <x:c r="L29" s="162" t="str">
        <x:v>里程碑 Milestone</x:v>
      </x:c>
      <x:c r="M29" s="162" t="str">
        <x:v>里程碑 Milestone</x:v>
      </x:c>
      <x:c r="N29" s="162" t="str">
        <x:v>里程碑 Milestone</x:v>
      </x:c>
      <x:c r="O29" s="162" t="str">
        <x:v>里程碑 Milestone</x:v>
      </x:c>
      <x:c r="P29" s="162" t="str">
        <x:v>里程碑 Milestone</x:v>
      </x:c>
      <x:c r="Q29" s="162" t="str">
        <x:v>里程碑 Milestone</x:v>
      </x:c>
      <x:c r="R29" s="162" t="str">
        <x:v>里程碑 Milestone</x:v>
      </x:c>
      <x:c r="S29" s="162" t="str">
        <x:v>里程碑 Milestone</x:v>
      </x:c>
      <x:c r="T29" s="162" t="str">
        <x:v>里程碑 Milestone</x:v>
      </x:c>
      <x:c r="U29" s="162" t="str">
        <x:v>里程碑 Milestone</x:v>
      </x:c>
      <x:c r="V29" s="162" t="str">
        <x:v>里程碑 Milestone</x:v>
      </x:c>
      <x:c r="W29" s="162" t="str">
        <x:v>里程碑 Milestone</x:v>
      </x:c>
      <x:c r="X29" s="162" t="str">
        <x:v>里程碑 Milestone</x:v>
      </x:c>
      <x:c r="Y29" s="162" t="str">
        <x:v>里程碑 Milestone</x:v>
      </x:c>
      <x:c r="Z29" s="162" t="str">
        <x:v>里程碑 Milestone</x:v>
      </x:c>
      <x:c r="AA29" s="163" t="str">
        <x:v>里程碑 Milestone</x:v>
      </x:c>
    </x:row>
    <x:row r="30" ht="46" customHeight="1">
      <x:c r="A30" s="155" t="str">
        <x:v>阶段</x:v>
      </x:c>
      <x:c r="B30" s="155" t="str">
        <x:v>关键里程碑</x:v>
      </x:c>
      <x:c r="C30" s="155" t="str">
        <x:v>交付物</x:v>
      </x:c>
      <x:c r="D30" s="155" t="str">
        <x:v>负责人</x:v>
      </x:c>
      <x:c r="E30" s="155" t="str">
        <x:v>计划时间</x:v>
      </x:c>
      <x:c r="F30" s="155" t="str">
        <x:v>备注</x:v>
      </x:c>
      <x:c r="G30" s="154"/>
      <x:c r="H30" s="134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I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J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K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L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M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N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O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P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Q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R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S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T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U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V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W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X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Y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Z30" s="135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AA30" s="136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</x:row>
    <x:row r="31" ht="46" customHeight="1">
      <x:c r="A31" s="40" t="str">
        <x:v>需求与设计</x:v>
      </x:c>
      <x:c r="B31" s="40" t="str">
        <x:v>明确双角色协同与资料增强产品范围</x:v>
      </x:c>
      <x:c r="C31" s="40" t="str">
        <x:v>需求调研、概要设计</x:v>
      </x:c>
      <x:c r="D31" s="40" t="str">
        <x:v>成员1/成员2</x:v>
      </x:c>
      <x:c r="E31" s="40" t="str">
        <x:v>第1-3周</x:v>
      </x:c>
      <x:c r="F31" s="40" t="str">
        <x:v>依据作品报告中的需求分析与概要设计整理</x:v>
      </x:c>
      <x:c r="G31" s="154"/>
      <x:c r="H31" s="137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I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J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K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L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M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N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O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P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Q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R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S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T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U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V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W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X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Y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Z31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AA31" s="139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</x:row>
    <x:row r="32" ht="46" customHeight="1">
      <x:c r="A32" s="40" t="str">
        <x:v>核心开发</x:v>
      </x:c>
      <x:c r="B32" s="40" t="str">
        <x:v>完成教师端、学生端和资料增强主链路</x:v>
      </x:c>
      <x:c r="C32" s="40" t="str">
        <x:v>可运行前后端系统</x:v>
      </x:c>
      <x:c r="D32" s="40" t="str">
        <x:v>成员1/成员2/成员3</x:v>
      </x:c>
      <x:c r="E32" s="40" t="str">
        <x:v>第4-10周</x:v>
      </x:c>
      <x:c r="F32" s="40" t="str">
        <x:v>覆盖教案、测验、智能笔记、文件库等核心模块</x:v>
      </x:c>
      <x:c r="G32" s="154"/>
      <x:c r="H32" s="137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I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J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K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L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M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N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O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P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Q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R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S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T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U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V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W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X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Y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Z32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AA32" s="139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</x:row>
    <x:row r="33" ht="46" customHeight="1">
      <x:c r="A33" s="40" t="str">
        <x:v>多模态扩展</x:v>
      </x:c>
      <x:c r="B33" s="40" t="str">
        <x:v>完成幻灯片、播客、教学视频任务流水线</x:v>
      </x:c>
      <x:c r="C33" s="40" t="str">
        <x:v>多 Agent 多模态模块</x:v>
      </x:c>
      <x:c r="D33" s="40" t="str">
        <x:v>成员3/成员4</x:v>
      </x:c>
      <x:c r="E33" s="40" t="str">
        <x:v>第10-14周</x:v>
      </x:c>
      <x:c r="F33" s="40" t="str">
        <x:v>包含 TTS、ffmpeg、WebSocket 进度反馈</x:v>
      </x:c>
      <x:c r="G33" s="154"/>
      <x:c r="H33" s="137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I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J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K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L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M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N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O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P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Q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R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S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T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U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V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W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X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Y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Z33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AA33" s="139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</x:row>
    <x:row r="34" ht="46" customHeight="1">
      <x:c r="A34" s="40" t="str">
        <x:v>测试部署</x:v>
      </x:c>
      <x:c r="B34" s="40" t="str">
        <x:v>完成质量评测、服务器部署与公网验证</x:v>
      </x:c>
      <x:c r="C34" s="40" t="str">
        <x:v>测试报告、部署流程</x:v>
      </x:c>
      <x:c r="D34" s="40" t="str">
        <x:v>成员1/成员4</x:v>
      </x:c>
      <x:c r="E34" s="40" t="str">
        <x:v>第14-16周</x:v>
      </x:c>
      <x:c r="F34" s="40" t="str">
        <x:v>包含 LinkEdu-QA Benchmark</x:v>
      </x:c>
      <x:c r="G34" s="154"/>
      <x:c r="H34" s="137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I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J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K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L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M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N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O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P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Q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R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S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T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U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V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W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X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Y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Z34" s="138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AA34" s="139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</x:row>
    <x:row r="35" ht="46" customHeight="1">
      <x:c r="A35" s="40" t="str">
        <x:v>参赛提交</x:v>
      </x:c>
      <x:c r="B35" s="40" t="str">
        <x:v>完成作品报告、用户手册、答辩 PPT 和调研/计划文档</x:v>
      </x:c>
      <x:c r="C35" s="40" t="str">
        <x:v>参赛交付材料</x:v>
      </x:c>
      <x:c r="D35" s="40" t="str">
        <x:v>全体成员</x:v>
      </x:c>
      <x:c r="E35" s="40" t="str">
        <x:v>第16-18周</x:v>
      </x:c>
      <x:c r="F35" s="40" t="str">
        <x:v>面向中国大学生计算机设计大赛提交</x:v>
      </x:c>
      <x:c r="G35" s="154"/>
      <x:c r="H35" s="140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I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J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K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L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M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N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O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P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Q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R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S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T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U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V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W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X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Y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Z35" s="141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  <x:c r="AA35" s="142" t="str">
        <x:v>参考依据：
1. 04-项目进度计划表.xls（模板结构：Project Basic Info + Project Schedule）
2. 文档/2026001333-作品报告.pdf（LinkEdu 功能、架构、算法、测试与部署内容）
3. 文档/2026001333-LinkEdu调研报告.docx（调研结论与产品发展目标）</x:v>
      </x:c>
    </x:row>
  </x:sheetData>
  <x:mergeCells>
    <x:mergeCell ref="A1:AA1"/>
    <x:mergeCell ref="A2:AA2"/>
    <x:mergeCell ref="A4:AA4"/>
    <x:mergeCell ref="A8:AA8"/>
    <x:mergeCell ref="A29:AA29"/>
    <x:mergeCell ref="H30:AA35"/>
  </x:mergeCells>
  <x:dataValidations count="3">
    <x:dataValidation type="list" sqref="D12:D27">
      <x:formula1>"成员1,成员2,成员3,成员4,成员1/成员2,成员1/成员3,成员2/成员3,成员3/成员4,成员1/成员4,全体成员"</x:formula1>
    </x:dataValidation>
    <x:dataValidation type="list" sqref="H12:H27">
      <x:formula1>"未开始,进行中,已完成,延期风险"</x:formula1>
    </x:dataValidation>
    <x:dataValidation type="decimal" operator="between" sqref="I12:I27">
      <x:formula1>0</x:formula1>
      <x:formula2>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42" hidden="0" customWidth="1"/>
  </x:cols>
  <x:sheetData>
    <x:row r="1">
      <x:c r="A1" s="166" t="str">
        <x:v>来源</x:v>
      </x:c>
      <x:c r="B1" s="166" t="str">
        <x:v>位置</x:v>
      </x:c>
      <x:c r="C1" s="166" t="str">
        <x:v>用途</x:v>
      </x:c>
    </x:row>
    <x:row r="2">
      <x:c r="A2" s="167" t="str">
        <x:v>项目进度计划表模板</x:v>
      </x:c>
      <x:c r="B2" s="167" t="str">
        <x:v>D:/大三下实训/甄选资料2026/甄选资料2026/资料/day01-任务说明和微服务入门/1.任务说明/提交参考文档/04-项目进度计划表.xls</x:v>
      </x:c>
      <x:c r="C2" s="167" t="str">
        <x:v>复刻标题、项目基本信息和项目进度计划结构</x:v>
      </x:c>
    </x:row>
    <x:row r="3">
      <x:c r="A3" s="167" t="str">
        <x:v>LinkEdu 作品报告</x:v>
      </x:c>
      <x:c r="B3" s="167" t="str">
        <x:v>D:/大三下实训/LinkEdu-main-version1/LinkEdu-main-version1/文档/2026001333-作品报告.pdf</x:v>
      </x:c>
      <x:c r="C3" s="167" t="str">
        <x:v>提取功能模块、关键算法、测试与部署阶段</x:v>
      </x:c>
    </x:row>
    <x:row r="4">
      <x:c r="A4" s="167" t="str">
        <x:v>LinkEdu 调研报告</x:v>
      </x:c>
      <x:c r="B4" s="167" t="str">
        <x:v>D:/大三下实训/LinkEdu-main-version1/LinkEdu-main-version1/文档/2026001333-LinkEdu调研报告.docx</x:v>
      </x:c>
      <x:c r="C4" s="167" t="str">
        <x:v>补充发展目标与阶段安排</x:v>
      </x:c>
    </x:row>
  </x:sheetData>
  <x:pageMargins left="0.7" right="0.7" top="0.75" bottom="0.75" header="0.3" footer="0.3"/>
</x:worksheet>
</file>